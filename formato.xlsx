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edv\Downloads\01\"/>
    </mc:Choice>
  </mc:AlternateContent>
  <xr:revisionPtr revIDLastSave="0" documentId="8_{13760899-9275-4F09-9477-343171426701}" xr6:coauthVersionLast="47" xr6:coauthVersionMax="47" xr10:uidLastSave="{00000000-0000-0000-0000-000000000000}"/>
  <bookViews>
    <workbookView xWindow="-46560" yWindow="1470" windowWidth="22680" windowHeight="13320" xr2:uid="{FE1FBFA8-4461-4734-8EB3-9F2F88711D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2" i="1" l="1"/>
  <c r="C28" i="1"/>
  <c r="V8" i="1"/>
  <c r="V9" i="1" s="1"/>
  <c r="V10" i="1" s="1"/>
  <c r="V11" i="1" s="1"/>
  <c r="V12" i="1" s="1"/>
  <c r="V13" i="1" s="1"/>
  <c r="V14" i="1" s="1"/>
  <c r="V15" i="1" s="1"/>
  <c r="V16" i="1" s="1"/>
  <c r="V23" i="1" l="1"/>
  <c r="V24" i="1" s="1"/>
  <c r="V25" i="1" s="1"/>
  <c r="V26" i="1" s="1"/>
  <c r="V27" i="1" s="1"/>
  <c r="V28" i="1" s="1"/>
  <c r="V17" i="1"/>
  <c r="V18" i="1" s="1"/>
  <c r="V19" i="1" s="1"/>
  <c r="V20" i="1" s="1"/>
  <c r="V21" i="1" s="1"/>
  <c r="V22" i="1" s="1"/>
  <c r="V29" i="1"/>
  <c r="V30" i="1" s="1"/>
  <c r="V31" i="1" s="1"/>
  <c r="V32" i="1" s="1"/>
  <c r="V33" i="1" s="1"/>
  <c r="V34" i="1" s="1"/>
  <c r="V35" i="1" s="1"/>
  <c r="V36" i="1" s="1"/>
  <c r="U28" i="1"/>
  <c r="V5" i="1"/>
  <c r="V6" i="1" s="1"/>
  <c r="V7" i="1" s="1"/>
</calcChain>
</file>

<file path=xl/sharedStrings.xml><?xml version="1.0" encoding="utf-8"?>
<sst xmlns="http://schemas.openxmlformats.org/spreadsheetml/2006/main" count="87" uniqueCount="43">
  <si>
    <t>2,8</t>
  </si>
  <si>
    <t>ITEM</t>
  </si>
  <si>
    <t>DESCRIPCIÓN</t>
  </si>
  <si>
    <t>UNIDAD</t>
  </si>
  <si>
    <t>CANTIDAD</t>
  </si>
  <si>
    <t>m3</t>
  </si>
  <si>
    <t>I. EQUIPO</t>
  </si>
  <si>
    <t>MARCA</t>
  </si>
  <si>
    <t>TIPO</t>
  </si>
  <si>
    <t>TARIFA/HORA</t>
  </si>
  <si>
    <t>RENDIMIENTO</t>
  </si>
  <si>
    <t>Vr. UNITARIO</t>
  </si>
  <si>
    <t>Herramienta menor</t>
  </si>
  <si>
    <t>NA</t>
  </si>
  <si>
    <t>GLB</t>
  </si>
  <si>
    <t>SUBTOTAL $</t>
  </si>
  <si>
    <t>IV. MANO DE OBRA</t>
  </si>
  <si>
    <t>TRABAJADOR</t>
  </si>
  <si>
    <t>JORNAL</t>
  </si>
  <si>
    <t>PRESTACIONES</t>
  </si>
  <si>
    <t>JORNAL TOTAL</t>
  </si>
  <si>
    <t>TOTAL COSTO DIRECTO $</t>
  </si>
  <si>
    <t>V. COSTOS INDIRECTOS</t>
  </si>
  <si>
    <t>Descripción</t>
  </si>
  <si>
    <t>Porcentaje</t>
  </si>
  <si>
    <t>Valor Total</t>
  </si>
  <si>
    <t>ADMINISTRACION</t>
  </si>
  <si>
    <t xml:space="preserve">IMPREVISTOS </t>
  </si>
  <si>
    <t>UTILIDAD</t>
  </si>
  <si>
    <t>Precio Unitario Total Aproximado al peso $</t>
  </si>
  <si>
    <t>4,09</t>
  </si>
  <si>
    <t>Relleno de aena fina</t>
  </si>
  <si>
    <t>II. MATERIALES</t>
  </si>
  <si>
    <t>PRECIO UNIT.</t>
  </si>
  <si>
    <t>Arena fina</t>
  </si>
  <si>
    <t>ML</t>
  </si>
  <si>
    <t>Mano de obra albanileria 1 ayudante</t>
  </si>
  <si>
    <t>2,07,06</t>
  </si>
  <si>
    <t>MATERIAL</t>
  </si>
  <si>
    <t>VOL. o PESO</t>
  </si>
  <si>
    <t>DISTANCIA</t>
  </si>
  <si>
    <t>M3 o Ton/Km</t>
  </si>
  <si>
    <t>TARIFA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</si>
</sst>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_-* #,##0\ _€_-;\-* #,##0\ _€_-;_-* &quot;-&quot;??\ _€_-;_-@"/>
    <numFmt numFmtId="166" formatCode="_-* #,##0.00\ _€_-;\-* #,##0.00\ _€_-;_-* &quot;-&quot;??\ _€_-;_-@"/>
    <numFmt numFmtId="167" formatCode="0.000%"/>
    <numFmt numFmtId="168" formatCode="_(* #,##0_);_(* \(#,##0\);_(* &quot;-&quot;_);_(@_)"/>
    <numFmt numFmtId="169" formatCode="_-* #,##0.00_-;\-* #,##0.00_-;_-* &quot;-&quot;??_-;_-@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1"/>
      <color theme="1"/>
      <name val="Arial Narrow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Arial Narrow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/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4" fontId="2" fillId="2" borderId="5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9" xfId="0" applyFont="1" applyBorder="1" applyAlignment="1">
      <alignment horizontal="left" vertical="center"/>
    </xf>
    <xf numFmtId="0" fontId="3" fillId="0" borderId="10" xfId="0" applyFont="1" applyBorder="1"/>
    <xf numFmtId="0" fontId="3" fillId="0" borderId="11" xfId="0" applyFont="1" applyBorder="1"/>
    <xf numFmtId="0" fontId="2" fillId="2" borderId="2" xfId="0" applyFont="1" applyFill="1" applyBorder="1" applyAlignment="1">
      <alignment horizontal="center"/>
    </xf>
    <xf numFmtId="0" fontId="3" fillId="0" borderId="12" xfId="0" applyFont="1" applyBorder="1"/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5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5" fillId="0" borderId="19" xfId="0" applyFont="1" applyBorder="1"/>
    <xf numFmtId="164" fontId="5" fillId="0" borderId="20" xfId="0" applyNumberFormat="1" applyFont="1" applyBorder="1"/>
    <xf numFmtId="0" fontId="5" fillId="0" borderId="19" xfId="0" applyFont="1" applyBorder="1" applyAlignment="1">
      <alignment horizontal="center"/>
    </xf>
    <xf numFmtId="164" fontId="5" fillId="0" borderId="21" xfId="0" applyNumberFormat="1" applyFont="1" applyBorder="1"/>
    <xf numFmtId="164" fontId="1" fillId="0" borderId="0" xfId="0" applyNumberFormat="1" applyFont="1"/>
    <xf numFmtId="0" fontId="2" fillId="0" borderId="22" xfId="0" applyFont="1" applyBorder="1" applyAlignment="1">
      <alignment horizontal="right"/>
    </xf>
    <xf numFmtId="0" fontId="3" fillId="0" borderId="23" xfId="0" applyFont="1" applyBorder="1"/>
    <xf numFmtId="0" fontId="3" fillId="0" borderId="24" xfId="0" applyFont="1" applyBorder="1"/>
    <xf numFmtId="164" fontId="5" fillId="0" borderId="25" xfId="0" applyNumberFormat="1" applyFont="1" applyBorder="1"/>
    <xf numFmtId="0" fontId="2" fillId="2" borderId="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165" fontId="5" fillId="0" borderId="20" xfId="0" applyNumberFormat="1" applyFont="1" applyBorder="1"/>
    <xf numFmtId="0" fontId="5" fillId="0" borderId="28" xfId="0" applyFont="1" applyBorder="1" applyAlignment="1">
      <alignment vertical="center"/>
    </xf>
    <xf numFmtId="0" fontId="5" fillId="0" borderId="0" xfId="0" applyFont="1"/>
    <xf numFmtId="168" fontId="5" fillId="0" borderId="0" xfId="0" applyNumberFormat="1" applyFont="1"/>
    <xf numFmtId="0" fontId="5" fillId="0" borderId="29" xfId="0" applyFont="1" applyBorder="1"/>
    <xf numFmtId="166" fontId="1" fillId="0" borderId="0" xfId="0" applyNumberFormat="1" applyFont="1"/>
    <xf numFmtId="0" fontId="2" fillId="2" borderId="22" xfId="0" applyFont="1" applyFill="1" applyBorder="1" applyAlignment="1">
      <alignment horizontal="right"/>
    </xf>
    <xf numFmtId="166" fontId="5" fillId="2" borderId="25" xfId="0" applyNumberFormat="1" applyFont="1" applyFill="1" applyBorder="1"/>
    <xf numFmtId="0" fontId="2" fillId="2" borderId="3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wrapText="1"/>
    </xf>
    <xf numFmtId="169" fontId="5" fillId="0" borderId="17" xfId="0" applyNumberFormat="1" applyFont="1" applyBorder="1"/>
    <xf numFmtId="9" fontId="5" fillId="0" borderId="18" xfId="0" applyNumberFormat="1" applyFont="1" applyBorder="1"/>
    <xf numFmtId="10" fontId="5" fillId="0" borderId="20" xfId="0" applyNumberFormat="1" applyFont="1" applyBorder="1" applyAlignment="1">
      <alignment horizontal="center"/>
    </xf>
    <xf numFmtId="169" fontId="5" fillId="0" borderId="19" xfId="0" applyNumberFormat="1" applyFont="1" applyBorder="1" applyAlignment="1">
      <alignment horizontal="center"/>
    </xf>
    <xf numFmtId="169" fontId="5" fillId="0" borderId="21" xfId="0" applyNumberFormat="1" applyFont="1" applyBorder="1"/>
    <xf numFmtId="0" fontId="5" fillId="0" borderId="30" xfId="0" applyFont="1" applyBorder="1" applyAlignment="1">
      <alignment vertical="center"/>
    </xf>
    <xf numFmtId="0" fontId="5" fillId="0" borderId="31" xfId="0" applyFont="1" applyBorder="1"/>
    <xf numFmtId="0" fontId="5" fillId="0" borderId="6" xfId="0" applyFont="1" applyBorder="1" applyAlignment="1">
      <alignment vertical="center"/>
    </xf>
    <xf numFmtId="0" fontId="5" fillId="0" borderId="7" xfId="0" applyFont="1" applyBorder="1"/>
    <xf numFmtId="169" fontId="5" fillId="0" borderId="7" xfId="0" applyNumberFormat="1" applyFont="1" applyBorder="1"/>
    <xf numFmtId="9" fontId="5" fillId="0" borderId="32" xfId="0" applyNumberFormat="1" applyFont="1" applyBorder="1"/>
    <xf numFmtId="169" fontId="5" fillId="0" borderId="33" xfId="0" applyNumberFormat="1" applyFont="1" applyBorder="1" applyAlignment="1">
      <alignment horizontal="center"/>
    </xf>
    <xf numFmtId="0" fontId="3" fillId="0" borderId="32" xfId="0" applyFont="1" applyBorder="1"/>
    <xf numFmtId="169" fontId="5" fillId="0" borderId="25" xfId="0" applyNumberFormat="1" applyFont="1" applyBorder="1"/>
    <xf numFmtId="169" fontId="2" fillId="2" borderId="25" xfId="0" applyNumberFormat="1" applyFont="1" applyFill="1" applyBorder="1"/>
    <xf numFmtId="0" fontId="2" fillId="2" borderId="13" xfId="0" applyFont="1" applyFill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166" fontId="5" fillId="0" borderId="26" xfId="0" applyNumberFormat="1" applyFont="1" applyBorder="1" applyAlignment="1">
      <alignment wrapText="1"/>
    </xf>
    <xf numFmtId="167" fontId="5" fillId="0" borderId="19" xfId="0" applyNumberFormat="1" applyFont="1" applyBorder="1" applyAlignment="1">
      <alignment wrapText="1"/>
    </xf>
    <xf numFmtId="164" fontId="5" fillId="0" borderId="27" xfId="0" applyNumberFormat="1" applyFont="1" applyBorder="1" applyAlignment="1">
      <alignment wrapText="1"/>
    </xf>
    <xf numFmtId="0" fontId="3" fillId="0" borderId="10" xfId="0" applyFont="1" applyBorder="1"/>
    <xf numFmtId="0" fontId="2" fillId="0" borderId="9" xfId="0" applyFont="1" applyBorder="1" applyAlignment="1">
      <alignment horizontal="right"/>
    </xf>
    <xf numFmtId="164" fontId="5" fillId="0" borderId="11" xfId="0" applyNumberFormat="1" applyFont="1" applyBorder="1"/>
    <xf numFmtId="0" fontId="1" fillId="0" borderId="0" xfId="0" applyFont="1" applyAlignment="1">
      <alignment horizontal="center"/>
    </xf>
    <xf numFmtId="0" fontId="2" fillId="2" borderId="14" xfId="0" applyFont="1" applyFill="1" applyBorder="1"/>
    <xf numFmtId="2" fontId="5" fillId="0" borderId="20" xfId="0" applyNumberFormat="1" applyFont="1" applyBorder="1" applyAlignment="1">
      <alignment horizontal="center"/>
    </xf>
    <xf numFmtId="2" fontId="5" fillId="0" borderId="17" xfId="0" applyNumberFormat="1" applyFont="1" applyBorder="1" applyAlignment="1">
      <alignment horizontal="center"/>
    </xf>
    <xf numFmtId="2" fontId="5" fillId="0" borderId="19" xfId="0" applyNumberFormat="1" applyFont="1" applyBorder="1" applyAlignment="1">
      <alignment horizontal="center"/>
    </xf>
    <xf numFmtId="0" fontId="5" fillId="0" borderId="6" xfId="0" applyFont="1" applyBorder="1"/>
    <xf numFmtId="0" fontId="5" fillId="0" borderId="35" xfId="0" applyFont="1" applyBorder="1"/>
    <xf numFmtId="0" fontId="5" fillId="0" borderId="36" xfId="0" applyFont="1" applyBorder="1"/>
    <xf numFmtId="0" fontId="5" fillId="0" borderId="33" xfId="0" applyFont="1" applyBorder="1" applyAlignment="1">
      <alignment horizontal="center"/>
    </xf>
    <xf numFmtId="164" fontId="5" fillId="0" borderId="3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84D0-1F1E-40EA-8A19-18F30E79D3E9}">
  <dimension ref="A5:AE36"/>
  <sheetViews>
    <sheetView tabSelected="1" zoomScale="85" zoomScaleNormal="85" workbookViewId="0">
      <selection activeCell="Q28" sqref="Q28"/>
    </sheetView>
  </sheetViews>
  <sheetFormatPr defaultRowHeight="14.4" x14ac:dyDescent="0.3"/>
  <cols>
    <col min="13" max="13" width="15.33203125" customWidth="1"/>
    <col min="14" max="14" width="13.88671875" customWidth="1"/>
    <col min="17" max="17" width="15.109375" customWidth="1"/>
  </cols>
  <sheetData>
    <row r="5" spans="1:22" ht="15" thickBot="1" x14ac:dyDescent="0.35">
      <c r="A5" s="1" t="s">
        <v>0</v>
      </c>
      <c r="B5" s="1"/>
      <c r="C5" s="1"/>
      <c r="D5" s="1"/>
      <c r="E5" s="40"/>
      <c r="F5" s="41"/>
      <c r="G5" s="41"/>
      <c r="H5" s="41"/>
      <c r="I5" s="41"/>
      <c r="J5" s="41"/>
      <c r="K5" s="41"/>
      <c r="L5" s="41"/>
      <c r="M5" s="41"/>
      <c r="N5" s="41"/>
      <c r="O5" s="41"/>
      <c r="P5" s="42"/>
      <c r="Q5" s="43"/>
      <c r="R5" s="8"/>
      <c r="V5" t="e">
        <f>+#REF!</f>
        <v>#REF!</v>
      </c>
    </row>
    <row r="6" spans="1:22" ht="15" thickBot="1" x14ac:dyDescent="0.35">
      <c r="A6" s="1" t="s">
        <v>0</v>
      </c>
      <c r="B6" s="1"/>
      <c r="C6" s="1"/>
      <c r="D6" s="1"/>
      <c r="E6" s="45" t="s">
        <v>29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3"/>
      <c r="Q6" s="63">
        <v>24694.862000000001</v>
      </c>
      <c r="R6" s="8"/>
      <c r="V6" t="e">
        <f t="shared" ref="V6:V7" si="0">+V5</f>
        <v>#REF!</v>
      </c>
    </row>
    <row r="7" spans="1:22" x14ac:dyDescent="0.3">
      <c r="A7" s="1" t="s">
        <v>30</v>
      </c>
      <c r="B7" s="1"/>
      <c r="C7" s="1"/>
      <c r="D7" s="1"/>
      <c r="E7" s="2" t="s">
        <v>1</v>
      </c>
      <c r="F7" s="3" t="s">
        <v>2</v>
      </c>
      <c r="G7" s="4"/>
      <c r="H7" s="4"/>
      <c r="I7" s="4"/>
      <c r="J7" s="4"/>
      <c r="K7" s="4"/>
      <c r="L7" s="4"/>
      <c r="M7" s="4"/>
      <c r="N7" s="5"/>
      <c r="O7" s="6" t="s">
        <v>3</v>
      </c>
      <c r="P7" s="5"/>
      <c r="Q7" s="7" t="s">
        <v>4</v>
      </c>
      <c r="R7" s="8"/>
      <c r="V7" t="e">
        <f t="shared" si="0"/>
        <v>#REF!</v>
      </c>
    </row>
    <row r="8" spans="1:22" ht="15" thickBot="1" x14ac:dyDescent="0.35">
      <c r="A8" s="1" t="s">
        <v>30</v>
      </c>
      <c r="B8" s="1"/>
      <c r="C8" s="1"/>
      <c r="D8" s="1"/>
      <c r="E8" s="9" t="s">
        <v>30</v>
      </c>
      <c r="F8" s="10" t="s">
        <v>31</v>
      </c>
      <c r="G8" s="11"/>
      <c r="H8" s="11"/>
      <c r="I8" s="11"/>
      <c r="J8" s="11"/>
      <c r="K8" s="11"/>
      <c r="L8" s="11"/>
      <c r="M8" s="11"/>
      <c r="N8" s="12"/>
      <c r="O8" s="10" t="s">
        <v>5</v>
      </c>
      <c r="P8" s="12"/>
      <c r="Q8" s="13"/>
      <c r="R8" s="8"/>
      <c r="V8" s="14" t="str">
        <f>+F8</f>
        <v>Relleno de aena fina</v>
      </c>
    </row>
    <row r="9" spans="1:22" ht="15" thickBot="1" x14ac:dyDescent="0.35">
      <c r="A9" s="1" t="s">
        <v>30</v>
      </c>
      <c r="B9" s="1"/>
      <c r="C9" s="1"/>
      <c r="D9" s="1"/>
      <c r="E9" s="15" t="s">
        <v>6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7"/>
      <c r="R9" s="8"/>
      <c r="V9" t="str">
        <f t="shared" ref="V9:V36" si="1">+V8</f>
        <v>Relleno de aena fina</v>
      </c>
    </row>
    <row r="10" spans="1:22" x14ac:dyDescent="0.3">
      <c r="A10" s="1" t="s">
        <v>30</v>
      </c>
      <c r="B10" s="1"/>
      <c r="C10" s="1"/>
      <c r="D10" s="1"/>
      <c r="E10" s="18" t="s">
        <v>2</v>
      </c>
      <c r="F10" s="4"/>
      <c r="G10" s="4"/>
      <c r="H10" s="4"/>
      <c r="I10" s="19"/>
      <c r="J10" s="20" t="s">
        <v>7</v>
      </c>
      <c r="K10" s="19"/>
      <c r="L10" s="20" t="s">
        <v>8</v>
      </c>
      <c r="M10" s="19"/>
      <c r="N10" s="21" t="s">
        <v>9</v>
      </c>
      <c r="O10" s="20" t="s">
        <v>10</v>
      </c>
      <c r="P10" s="19"/>
      <c r="Q10" s="22" t="s">
        <v>11</v>
      </c>
      <c r="R10" s="8"/>
      <c r="V10" t="str">
        <f t="shared" si="1"/>
        <v>Relleno de aena fina</v>
      </c>
    </row>
    <row r="11" spans="1:22" ht="15" thickBot="1" x14ac:dyDescent="0.35">
      <c r="A11" s="1" t="s">
        <v>30</v>
      </c>
      <c r="B11" s="1"/>
      <c r="C11" s="1"/>
      <c r="D11" s="1"/>
      <c r="E11" s="23" t="s">
        <v>12</v>
      </c>
      <c r="F11" s="24"/>
      <c r="G11" s="24"/>
      <c r="H11" s="24"/>
      <c r="I11" s="25"/>
      <c r="J11" s="26" t="s">
        <v>13</v>
      </c>
      <c r="K11" s="25"/>
      <c r="L11" s="26" t="s">
        <v>14</v>
      </c>
      <c r="M11" s="25"/>
      <c r="N11" s="27">
        <v>1600</v>
      </c>
      <c r="O11" s="28">
        <v>0.12</v>
      </c>
      <c r="P11" s="25"/>
      <c r="Q11" s="29">
        <v>192</v>
      </c>
      <c r="R11" s="8"/>
      <c r="V11" t="str">
        <f t="shared" si="1"/>
        <v>Relleno de aena fina</v>
      </c>
    </row>
    <row r="12" spans="1:22" ht="15" thickBot="1" x14ac:dyDescent="0.35">
      <c r="A12" s="1" t="s">
        <v>30</v>
      </c>
      <c r="B12" s="1"/>
      <c r="C12" s="1"/>
      <c r="D12" s="30"/>
      <c r="E12" s="31" t="s">
        <v>15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3"/>
      <c r="Q12" s="34">
        <v>192</v>
      </c>
      <c r="R12" s="8"/>
      <c r="V12" t="str">
        <f t="shared" si="1"/>
        <v>Relleno de aena fina</v>
      </c>
    </row>
    <row r="13" spans="1:22" ht="15" thickBot="1" x14ac:dyDescent="0.35">
      <c r="A13" s="1" t="s">
        <v>30</v>
      </c>
      <c r="B13" s="1"/>
      <c r="C13" s="1"/>
      <c r="D13" s="1"/>
      <c r="E13" s="15" t="s">
        <v>32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7"/>
      <c r="R13" s="8"/>
      <c r="V13" t="str">
        <f t="shared" si="1"/>
        <v>Relleno de aena fina</v>
      </c>
    </row>
    <row r="14" spans="1:22" x14ac:dyDescent="0.3">
      <c r="A14" s="1" t="s">
        <v>30</v>
      </c>
      <c r="B14" s="1"/>
      <c r="C14" s="1"/>
      <c r="D14" s="1"/>
      <c r="E14" s="18" t="s">
        <v>2</v>
      </c>
      <c r="F14" s="4"/>
      <c r="G14" s="4"/>
      <c r="H14" s="4"/>
      <c r="I14" s="4"/>
      <c r="J14" s="4"/>
      <c r="K14" s="4"/>
      <c r="L14" s="19"/>
      <c r="M14" s="64" t="s">
        <v>3</v>
      </c>
      <c r="N14" s="21" t="s">
        <v>4</v>
      </c>
      <c r="O14" s="20" t="s">
        <v>33</v>
      </c>
      <c r="P14" s="19"/>
      <c r="Q14" s="22" t="s">
        <v>11</v>
      </c>
      <c r="R14" s="8"/>
      <c r="V14" t="str">
        <f t="shared" si="1"/>
        <v>Relleno de aena fina</v>
      </c>
    </row>
    <row r="15" spans="1:22" ht="15" thickBot="1" x14ac:dyDescent="0.35">
      <c r="A15" s="1" t="s">
        <v>30</v>
      </c>
      <c r="B15" s="1"/>
      <c r="C15" s="1"/>
      <c r="D15" s="1"/>
      <c r="E15" s="23" t="s">
        <v>34</v>
      </c>
      <c r="F15" s="24"/>
      <c r="G15" s="24"/>
      <c r="H15" s="24"/>
      <c r="I15" s="24"/>
      <c r="J15" s="24"/>
      <c r="K15" s="24"/>
      <c r="L15" s="25"/>
      <c r="M15" s="65" t="s">
        <v>35</v>
      </c>
      <c r="N15" s="66">
        <v>1.05</v>
      </c>
      <c r="O15" s="67">
        <v>60000</v>
      </c>
      <c r="P15" s="25"/>
      <c r="Q15" s="29">
        <v>63000</v>
      </c>
      <c r="R15" s="8"/>
      <c r="V15" t="str">
        <f t="shared" si="1"/>
        <v>Relleno de aena fina</v>
      </c>
    </row>
    <row r="16" spans="1:22" ht="15" thickBot="1" x14ac:dyDescent="0.35">
      <c r="A16" s="1" t="s">
        <v>30</v>
      </c>
      <c r="B16" s="1"/>
      <c r="C16" s="1"/>
      <c r="D16" s="30"/>
      <c r="E16" s="31" t="s">
        <v>15</v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34">
        <v>63000</v>
      </c>
      <c r="R16" s="8"/>
      <c r="V16" t="str">
        <f t="shared" si="1"/>
        <v>Relleno de aena fina</v>
      </c>
    </row>
    <row r="17" spans="1:31" ht="14.4" customHeight="1" thickBot="1" x14ac:dyDescent="0.35">
      <c r="A17" s="1" t="s">
        <v>37</v>
      </c>
      <c r="B17" s="1"/>
      <c r="C17" s="1"/>
      <c r="D17" s="1"/>
      <c r="E17" s="72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3"/>
      <c r="R17" s="74"/>
      <c r="S17" s="1"/>
      <c r="T17" s="1"/>
      <c r="U17" s="1"/>
      <c r="V17" t="str">
        <f t="shared" si="1"/>
        <v>Relleno de aena fina</v>
      </c>
      <c r="W17" s="1"/>
      <c r="X17" s="1"/>
      <c r="Y17" s="1"/>
      <c r="Z17" s="1"/>
      <c r="AA17" s="1"/>
      <c r="AB17" s="1"/>
      <c r="AC17" s="1"/>
      <c r="AD17" s="1"/>
      <c r="AE17" s="1"/>
    </row>
    <row r="18" spans="1:31" ht="15" customHeight="1" thickBot="1" x14ac:dyDescent="0.35">
      <c r="A18" s="1" t="s">
        <v>37</v>
      </c>
      <c r="B18" s="1"/>
      <c r="C18" s="1"/>
      <c r="D18" s="1"/>
      <c r="E18" s="72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3"/>
      <c r="R18" s="74"/>
      <c r="S18" s="1"/>
      <c r="T18" s="1"/>
      <c r="U18" s="1"/>
      <c r="V18" t="str">
        <f t="shared" si="1"/>
        <v>Relleno de aena fina</v>
      </c>
      <c r="W18" s="1"/>
      <c r="X18" s="1"/>
      <c r="Y18" s="1"/>
      <c r="Z18" s="1"/>
      <c r="AA18" s="1"/>
      <c r="AB18" s="1"/>
      <c r="AC18" s="1"/>
      <c r="AD18" s="1"/>
      <c r="AE18" s="1"/>
    </row>
    <row r="19" spans="1:31" ht="14.4" customHeight="1" x14ac:dyDescent="0.3">
      <c r="A19" s="1" t="s">
        <v>37</v>
      </c>
      <c r="B19" s="1"/>
      <c r="C19" s="1"/>
      <c r="D19" s="1"/>
      <c r="E19" s="18" t="s">
        <v>38</v>
      </c>
      <c r="F19" s="4"/>
      <c r="G19" s="4"/>
      <c r="H19" s="4"/>
      <c r="I19" s="4"/>
      <c r="J19" s="4"/>
      <c r="K19" s="19"/>
      <c r="L19" s="21" t="s">
        <v>39</v>
      </c>
      <c r="M19" s="47" t="s">
        <v>40</v>
      </c>
      <c r="N19" s="75" t="s">
        <v>41</v>
      </c>
      <c r="O19" s="20" t="s">
        <v>42</v>
      </c>
      <c r="P19" s="19"/>
      <c r="Q19" s="22" t="s">
        <v>11</v>
      </c>
      <c r="R19" s="74"/>
      <c r="S19" s="1"/>
      <c r="T19" s="1"/>
      <c r="U19" s="1"/>
      <c r="V19" t="str">
        <f t="shared" si="1"/>
        <v>Relleno de aena fina</v>
      </c>
      <c r="W19" s="1"/>
      <c r="X19" s="1"/>
      <c r="Y19" s="1"/>
      <c r="Z19" s="1"/>
      <c r="AA19" s="1"/>
      <c r="AB19" s="1"/>
      <c r="AC19" s="1"/>
      <c r="AD19" s="1"/>
      <c r="AE19" s="1"/>
    </row>
    <row r="20" spans="1:31" ht="14.4" customHeight="1" x14ac:dyDescent="0.3">
      <c r="A20" s="1" t="s">
        <v>37</v>
      </c>
      <c r="B20" s="1"/>
      <c r="C20" s="1"/>
      <c r="D20" s="1"/>
      <c r="E20" s="23"/>
      <c r="F20" s="24"/>
      <c r="G20" s="24"/>
      <c r="H20" s="24"/>
      <c r="I20" s="24"/>
      <c r="J20" s="24"/>
      <c r="K20" s="25"/>
      <c r="L20" s="76"/>
      <c r="M20" s="77"/>
      <c r="N20" s="76"/>
      <c r="O20" s="78"/>
      <c r="P20" s="25"/>
      <c r="Q20" s="29">
        <v>0</v>
      </c>
      <c r="R20" s="74"/>
      <c r="S20" s="1"/>
      <c r="T20" s="1"/>
      <c r="U20" s="1"/>
      <c r="V20" t="str">
        <f t="shared" si="1"/>
        <v>Relleno de aena fina</v>
      </c>
      <c r="W20" s="1"/>
      <c r="X20" s="1"/>
      <c r="Y20" s="1"/>
      <c r="Z20" s="1"/>
      <c r="AA20" s="1"/>
      <c r="AB20" s="1"/>
      <c r="AC20" s="1"/>
      <c r="AD20" s="1"/>
      <c r="AE20" s="1"/>
    </row>
    <row r="21" spans="1:31" ht="15" customHeight="1" thickBot="1" x14ac:dyDescent="0.35">
      <c r="A21" s="1" t="s">
        <v>37</v>
      </c>
      <c r="B21" s="1"/>
      <c r="C21" s="1"/>
      <c r="D21" s="1"/>
      <c r="E21" s="79"/>
      <c r="F21" s="11"/>
      <c r="G21" s="11"/>
      <c r="H21" s="11"/>
      <c r="I21" s="11"/>
      <c r="J21" s="11"/>
      <c r="K21" s="61"/>
      <c r="L21" s="80"/>
      <c r="M21" s="81"/>
      <c r="N21" s="80"/>
      <c r="O21" s="82"/>
      <c r="P21" s="61"/>
      <c r="Q21" s="83"/>
      <c r="R21" s="74"/>
      <c r="S21" s="1"/>
      <c r="T21" s="1"/>
      <c r="U21" s="1"/>
      <c r="V21" t="str">
        <f t="shared" si="1"/>
        <v>Relleno de aena fina</v>
      </c>
      <c r="W21" s="1"/>
      <c r="X21" s="1"/>
      <c r="Y21" s="1"/>
      <c r="Z21" s="1"/>
      <c r="AA21" s="1"/>
      <c r="AB21" s="1"/>
      <c r="AC21" s="1"/>
      <c r="AD21" s="1"/>
      <c r="AE21" s="1"/>
    </row>
    <row r="22" spans="1:31" ht="15" customHeight="1" thickBot="1" x14ac:dyDescent="0.35">
      <c r="A22" s="1" t="s">
        <v>37</v>
      </c>
      <c r="B22" s="1"/>
      <c r="C22" s="1"/>
      <c r="D22" s="30"/>
      <c r="E22" s="31" t="s">
        <v>15</v>
      </c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3"/>
      <c r="Q22" s="34">
        <f>SUM(Q20:Q21)</f>
        <v>0</v>
      </c>
      <c r="R22" s="74"/>
      <c r="S22" s="1"/>
      <c r="T22" s="1"/>
      <c r="U22" s="1"/>
      <c r="V22" t="str">
        <f t="shared" si="1"/>
        <v>Relleno de aena fina</v>
      </c>
      <c r="W22" s="1"/>
      <c r="X22" s="1"/>
      <c r="Y22" s="1"/>
      <c r="Z22" s="1"/>
      <c r="AA22" s="1"/>
      <c r="AB22" s="1"/>
      <c r="AC22" s="1"/>
      <c r="AD22" s="1"/>
      <c r="AE22" s="1"/>
    </row>
    <row r="23" spans="1:31" ht="15" thickBot="1" x14ac:dyDescent="0.35">
      <c r="A23" s="1" t="s">
        <v>30</v>
      </c>
      <c r="B23" s="1"/>
      <c r="C23" s="1"/>
      <c r="D23" s="1"/>
      <c r="E23" s="15" t="s">
        <v>16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7"/>
      <c r="R23" s="8"/>
      <c r="V23" t="str">
        <f>+V16</f>
        <v>Relleno de aena fina</v>
      </c>
    </row>
    <row r="24" spans="1:31" x14ac:dyDescent="0.3">
      <c r="A24" s="1" t="s">
        <v>30</v>
      </c>
      <c r="B24" s="1"/>
      <c r="C24" s="1"/>
      <c r="D24" s="1"/>
      <c r="E24" s="18" t="s">
        <v>17</v>
      </c>
      <c r="F24" s="4"/>
      <c r="G24" s="4"/>
      <c r="H24" s="4"/>
      <c r="I24" s="4"/>
      <c r="J24" s="4"/>
      <c r="K24" s="19"/>
      <c r="L24" s="21" t="s">
        <v>18</v>
      </c>
      <c r="M24" s="35" t="s">
        <v>19</v>
      </c>
      <c r="N24" s="36" t="s">
        <v>20</v>
      </c>
      <c r="O24" s="37" t="s">
        <v>10</v>
      </c>
      <c r="P24" s="19"/>
      <c r="Q24" s="38" t="s">
        <v>11</v>
      </c>
      <c r="R24" s="8"/>
      <c r="V24" t="str">
        <f t="shared" si="1"/>
        <v>Relleno de aena fina</v>
      </c>
    </row>
    <row r="25" spans="1:31" ht="15" thickBot="1" x14ac:dyDescent="0.35">
      <c r="A25" s="1" t="s">
        <v>30</v>
      </c>
      <c r="B25" s="1"/>
      <c r="C25" s="1"/>
      <c r="D25" s="1"/>
      <c r="E25" s="23" t="s">
        <v>36</v>
      </c>
      <c r="F25" s="24"/>
      <c r="G25" s="24"/>
      <c r="H25" s="24"/>
      <c r="I25" s="24"/>
      <c r="J25" s="24"/>
      <c r="K25" s="24"/>
      <c r="L25" s="39">
        <v>50000</v>
      </c>
      <c r="M25" s="39">
        <v>30000</v>
      </c>
      <c r="N25" s="68">
        <v>80000</v>
      </c>
      <c r="O25" s="69">
        <v>0.10068000000000001</v>
      </c>
      <c r="P25" s="25"/>
      <c r="Q25" s="70">
        <v>8054.4000000000005</v>
      </c>
      <c r="R25" s="8"/>
      <c r="V25" t="str">
        <f t="shared" si="1"/>
        <v>Relleno de aena fina</v>
      </c>
    </row>
    <row r="26" spans="1:31" ht="15" thickBot="1" x14ac:dyDescent="0.35">
      <c r="A26" s="1" t="s">
        <v>30</v>
      </c>
      <c r="B26" s="1"/>
      <c r="C26" s="1"/>
      <c r="D26" s="30"/>
      <c r="E26" s="31" t="s">
        <v>15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3"/>
      <c r="Q26" s="34">
        <v>8054.4000000000005</v>
      </c>
      <c r="R26" s="8"/>
      <c r="V26" t="str">
        <f t="shared" si="1"/>
        <v>Relleno de aena fina</v>
      </c>
    </row>
    <row r="27" spans="1:31" ht="15" thickBot="1" x14ac:dyDescent="0.35">
      <c r="A27" s="1" t="s">
        <v>30</v>
      </c>
      <c r="B27" s="1"/>
      <c r="C27" s="1"/>
      <c r="D27" s="1"/>
      <c r="E27" s="40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2"/>
      <c r="Q27" s="43"/>
      <c r="R27" s="8"/>
      <c r="V27" t="str">
        <f t="shared" si="1"/>
        <v>Relleno de aena fina</v>
      </c>
    </row>
    <row r="28" spans="1:31" ht="15" thickBot="1" x14ac:dyDescent="0.35">
      <c r="A28" s="1" t="s">
        <v>30</v>
      </c>
      <c r="B28" s="1" t="s">
        <v>30</v>
      </c>
      <c r="C28" s="44">
        <f>+Q28</f>
        <v>71246</v>
      </c>
      <c r="D28" s="1"/>
      <c r="E28" s="45" t="s">
        <v>21</v>
      </c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3"/>
      <c r="Q28" s="46">
        <v>71246</v>
      </c>
      <c r="R28" s="8"/>
      <c r="U28" t="str">
        <f>+V28</f>
        <v>Relleno de aena fina</v>
      </c>
      <c r="V28" t="str">
        <f t="shared" si="1"/>
        <v>Relleno de aena fina</v>
      </c>
    </row>
    <row r="29" spans="1:31" ht="15" thickBot="1" x14ac:dyDescent="0.35">
      <c r="A29" s="1" t="s">
        <v>30</v>
      </c>
      <c r="B29" s="1"/>
      <c r="C29" s="1"/>
      <c r="D29" s="1"/>
      <c r="E29" s="15" t="s">
        <v>22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7"/>
      <c r="R29" s="8"/>
      <c r="V29" t="str">
        <f t="shared" si="1"/>
        <v>Relleno de aena fina</v>
      </c>
    </row>
    <row r="30" spans="1:31" x14ac:dyDescent="0.3">
      <c r="A30" s="1" t="s">
        <v>30</v>
      </c>
      <c r="B30" s="1"/>
      <c r="C30" s="1"/>
      <c r="D30" s="1"/>
      <c r="E30" s="18" t="s">
        <v>23</v>
      </c>
      <c r="F30" s="4"/>
      <c r="G30" s="4"/>
      <c r="H30" s="4"/>
      <c r="I30" s="4"/>
      <c r="J30" s="4"/>
      <c r="K30" s="4"/>
      <c r="L30" s="47"/>
      <c r="M30" s="48"/>
      <c r="N30" s="36" t="s">
        <v>24</v>
      </c>
      <c r="O30" s="37" t="s">
        <v>25</v>
      </c>
      <c r="P30" s="19"/>
      <c r="Q30" s="38"/>
      <c r="R30" s="8"/>
      <c r="V30" t="str">
        <f t="shared" si="1"/>
        <v>Relleno de aena fina</v>
      </c>
    </row>
    <row r="31" spans="1:31" x14ac:dyDescent="0.3">
      <c r="A31" s="1" t="s">
        <v>30</v>
      </c>
      <c r="B31" s="1"/>
      <c r="C31" s="1"/>
      <c r="D31" s="1"/>
      <c r="E31" s="23" t="s">
        <v>26</v>
      </c>
      <c r="F31" s="24"/>
      <c r="G31" s="24"/>
      <c r="H31" s="24"/>
      <c r="I31" s="24"/>
      <c r="J31" s="24"/>
      <c r="K31" s="24"/>
      <c r="L31" s="49"/>
      <c r="M31" s="50"/>
      <c r="N31" s="51">
        <v>0.3075</v>
      </c>
      <c r="O31" s="52"/>
      <c r="P31" s="25"/>
      <c r="Q31" s="53">
        <v>21908.145</v>
      </c>
      <c r="R31" s="8"/>
      <c r="V31" t="str">
        <f t="shared" si="1"/>
        <v>Relleno de aena fina</v>
      </c>
    </row>
    <row r="32" spans="1:31" x14ac:dyDescent="0.3">
      <c r="A32" s="1" t="s">
        <v>30</v>
      </c>
      <c r="B32" s="1"/>
      <c r="C32" s="1"/>
      <c r="D32" s="1"/>
      <c r="E32" s="54" t="s">
        <v>27</v>
      </c>
      <c r="F32" s="55"/>
      <c r="G32" s="55"/>
      <c r="H32" s="55"/>
      <c r="I32" s="55"/>
      <c r="J32" s="55"/>
      <c r="K32" s="55"/>
      <c r="L32" s="49"/>
      <c r="M32" s="50"/>
      <c r="N32" s="51">
        <v>0.01</v>
      </c>
      <c r="O32" s="52"/>
      <c r="P32" s="25"/>
      <c r="Q32" s="53">
        <v>712.46</v>
      </c>
      <c r="R32" s="8"/>
      <c r="V32" t="str">
        <f t="shared" si="1"/>
        <v>Relleno de aena fina</v>
      </c>
    </row>
    <row r="33" spans="1:22" ht="15" thickBot="1" x14ac:dyDescent="0.35">
      <c r="A33" s="1" t="s">
        <v>30</v>
      </c>
      <c r="B33" s="1"/>
      <c r="C33" s="1"/>
      <c r="D33" s="1"/>
      <c r="E33" s="56" t="s">
        <v>28</v>
      </c>
      <c r="F33" s="57"/>
      <c r="G33" s="57"/>
      <c r="H33" s="57"/>
      <c r="I33" s="57"/>
      <c r="J33" s="57"/>
      <c r="K33" s="57"/>
      <c r="L33" s="58"/>
      <c r="M33" s="59"/>
      <c r="N33" s="51">
        <v>0.05</v>
      </c>
      <c r="O33" s="60"/>
      <c r="P33" s="61"/>
      <c r="Q33" s="53">
        <v>3562.3</v>
      </c>
      <c r="R33" s="8"/>
      <c r="V33" t="str">
        <f t="shared" si="1"/>
        <v>Relleno de aena fina</v>
      </c>
    </row>
    <row r="34" spans="1:22" ht="15" thickBot="1" x14ac:dyDescent="0.35">
      <c r="A34" s="1" t="s">
        <v>30</v>
      </c>
      <c r="B34" s="1"/>
      <c r="C34" s="1"/>
      <c r="D34" s="30"/>
      <c r="E34" s="31" t="s">
        <v>15</v>
      </c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3"/>
      <c r="Q34" s="62">
        <v>26182.904999999999</v>
      </c>
      <c r="R34" s="8"/>
      <c r="V34" t="str">
        <f t="shared" si="1"/>
        <v>Relleno de aena fina</v>
      </c>
    </row>
    <row r="35" spans="1:22" ht="15" thickBot="1" x14ac:dyDescent="0.35">
      <c r="A35" s="1" t="s">
        <v>30</v>
      </c>
      <c r="B35" s="1"/>
      <c r="C35" s="1"/>
      <c r="D35" s="1"/>
      <c r="E35" s="40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2"/>
      <c r="Q35" s="43"/>
      <c r="R35" s="8"/>
      <c r="V35" t="str">
        <f t="shared" si="1"/>
        <v>Relleno de aena fina</v>
      </c>
    </row>
    <row r="36" spans="1:22" ht="15" thickBot="1" x14ac:dyDescent="0.35">
      <c r="A36" s="1" t="s">
        <v>30</v>
      </c>
      <c r="B36" s="1"/>
      <c r="C36" s="1"/>
      <c r="D36" s="1"/>
      <c r="E36" s="45" t="s">
        <v>29</v>
      </c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3"/>
      <c r="Q36" s="63">
        <v>97428.904999999999</v>
      </c>
      <c r="R36" s="8"/>
      <c r="V36" t="str">
        <f t="shared" si="1"/>
        <v>Relleno de aena fina</v>
      </c>
    </row>
  </sheetData>
  <mergeCells count="44">
    <mergeCell ref="O33:P33"/>
    <mergeCell ref="E34:P34"/>
    <mergeCell ref="E36:P36"/>
    <mergeCell ref="E21:K21"/>
    <mergeCell ref="E22:P22"/>
    <mergeCell ref="E29:Q29"/>
    <mergeCell ref="E30:K30"/>
    <mergeCell ref="O30:P30"/>
    <mergeCell ref="E31:K31"/>
    <mergeCell ref="O31:P31"/>
    <mergeCell ref="O32:P32"/>
    <mergeCell ref="E24:K24"/>
    <mergeCell ref="O24:P24"/>
    <mergeCell ref="E25:K25"/>
    <mergeCell ref="O25:P25"/>
    <mergeCell ref="E26:P26"/>
    <mergeCell ref="E28:P28"/>
    <mergeCell ref="E14:L14"/>
    <mergeCell ref="O14:P14"/>
    <mergeCell ref="E15:L15"/>
    <mergeCell ref="O15:P15"/>
    <mergeCell ref="E16:P16"/>
    <mergeCell ref="E23:Q23"/>
    <mergeCell ref="E11:I11"/>
    <mergeCell ref="J11:K11"/>
    <mergeCell ref="L11:M11"/>
    <mergeCell ref="O11:P11"/>
    <mergeCell ref="E12:P12"/>
    <mergeCell ref="E13:Q13"/>
    <mergeCell ref="F8:N8"/>
    <mergeCell ref="O8:P8"/>
    <mergeCell ref="E9:Q9"/>
    <mergeCell ref="E10:I10"/>
    <mergeCell ref="J10:K10"/>
    <mergeCell ref="L10:M10"/>
    <mergeCell ref="O10:P10"/>
    <mergeCell ref="O21:P21"/>
    <mergeCell ref="E6:P6"/>
    <mergeCell ref="F7:N7"/>
    <mergeCell ref="O7:P7"/>
    <mergeCell ref="E19:K19"/>
    <mergeCell ref="O19:P19"/>
    <mergeCell ref="E20:K20"/>
    <mergeCell ref="O20:P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Eduardo Valencia Isaza</dc:creator>
  <cp:lastModifiedBy>Gabriel Eduardo Valencia Isaza</cp:lastModifiedBy>
  <dcterms:created xsi:type="dcterms:W3CDTF">2026-07-28T20:42:59Z</dcterms:created>
  <dcterms:modified xsi:type="dcterms:W3CDTF">2026-07-28T20:45:46Z</dcterms:modified>
</cp:coreProperties>
</file>